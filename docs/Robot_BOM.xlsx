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ryan Heddle\OneDrive\Desktop\Ergos-Dynamic-Humanoid-Platform\docs\"/>
    </mc:Choice>
  </mc:AlternateContent>
  <xr:revisionPtr revIDLastSave="0" documentId="13_ncr:1_{3BD83E80-55EC-45C4-B5FD-981DB355D76D}" xr6:coauthVersionLast="47" xr6:coauthVersionMax="47" xr10:uidLastSave="{00000000-0000-0000-0000-000000000000}"/>
  <bookViews>
    <workbookView xWindow="-120" yWindow="-120" windowWidth="29040" windowHeight="15840" xr2:uid="{02CBD0F1-74CF-4889-91DA-ED3C1ACE063A}"/>
  </bookViews>
  <sheets>
    <sheet name="Robot_BOM"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2" l="1"/>
  <c r="F17" i="2"/>
  <c r="F23" i="2"/>
  <c r="F22" i="2"/>
  <c r="F21" i="2"/>
  <c r="F15" i="2"/>
  <c r="F11" i="2"/>
  <c r="F10" i="2"/>
  <c r="F9" i="2"/>
  <c r="F8" i="2"/>
  <c r="F7" i="2"/>
  <c r="F6" i="2"/>
  <c r="F5" i="2"/>
  <c r="F4" i="2"/>
  <c r="F3" i="2"/>
  <c r="F14" i="2"/>
  <c r="F18" i="2"/>
  <c r="G2" i="2" l="1"/>
</calcChain>
</file>

<file path=xl/sharedStrings.xml><?xml version="1.0" encoding="utf-8"?>
<sst xmlns="http://schemas.openxmlformats.org/spreadsheetml/2006/main" count="56" uniqueCount="56">
  <si>
    <t>Part</t>
  </si>
  <si>
    <t>Description</t>
  </si>
  <si>
    <t>Quantity</t>
  </si>
  <si>
    <t>Cost</t>
  </si>
  <si>
    <t>Total Cost + Tax</t>
  </si>
  <si>
    <t>Final Cost</t>
  </si>
  <si>
    <t>Jetson Orin Nano</t>
  </si>
  <si>
    <t>PLA</t>
  </si>
  <si>
    <t>3s lipo 8400mah 11.1v 120c</t>
  </si>
  <si>
    <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t>
  </si>
  <si>
    <t>MECHANICAL</t>
  </si>
  <si>
    <t>STS3250 50kg-cm TTL Dual-shaft</t>
  </si>
  <si>
    <t>STS3235 30kg-cm TTL Dual-shaft</t>
  </si>
  <si>
    <t>https://www.feetechrc.com/en/562636.html</t>
  </si>
  <si>
    <t>https://www.feetechrc.com/en/12v-30kg-metal-shell-metal-tooth-iron-core-motor-magnetic-coding-double-shaft-ttl-series-steering-gear.html</t>
  </si>
  <si>
    <t>8mm Round Servo Shaft</t>
  </si>
  <si>
    <t>https://www.gobilda.com/8mm-round-servo-shaft-25-tooth-spline-36mm-length/?srsltid=AfmBOoppTsDPK5TAdGEWVtdA1bXoH8x3ckvVXmJyh6e4P2LmL53MeBU7&amp;utm_source=chatgpt.com</t>
  </si>
  <si>
    <t>MR95ZZ Bearings</t>
  </si>
  <si>
    <t>https://www.amazon.ca/uxcell-Bearings-8x12x3-5mm-Miniature-Precision/dp/B0CM6G9ZKZ/ref=sr_1_1_sspa?dib=eyJ2IjoiMSJ9.ONfxX4N7YaB0nVC5ooFVR9CCxoUVbn3Br9jtOb0-Fo-zE4gYb88mbb66dYdjR6gEh627goLwYuHMomYA8kvUzXY5DLMQVPKuphA9umCSnN3MVsYfZ0Slrq8DpGwK5CRvT642U1hslR5yB0lF6-7GzffSewLB3gidbmBOtkR1I4Ivj7Z_WzG7EQqdRQJ02oESFyH8raAOuMqorI80Kgayp6weuZ9eShOwDAKoS15ux2j5g-CLD59jPmMMhaawTZks89mpoJ57szjD-dOtKGzWbOD8rqQywYYn53n3Uu-fQ6M.9KLB09EZX1ib8fGp-LBSh-REjrEpmcf8nIA4aD85yos&amp;dib_tag=se&amp;keywords=MR128&amp;qid=1757789974&amp;sr=8-1-spons&amp;sp_csd=d2lkZ2V0TmFtZT1zcF9hdGY&amp;th=1</t>
  </si>
  <si>
    <t>ELECTRICAL</t>
  </si>
  <si>
    <t>SOFTWARE</t>
  </si>
  <si>
    <t>Loctite 638</t>
  </si>
  <si>
    <t>https://www.amazon.ca/Loctite-21448-Strength-Retaining-Compound/dp/B000O01EV0</t>
  </si>
  <si>
    <t>Product Link</t>
  </si>
  <si>
    <t xml:space="preserve">PCB </t>
  </si>
  <si>
    <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t>
  </si>
  <si>
    <t>High-torque smart servo used for the hip, knee, and shoulder joints to handle the primary load-bearing and dynamic movement required for humanoid locomotion.</t>
  </si>
  <si>
    <t>Medium-torque smart servo used for arm and neck joints where lower torque is sufficient but precise control is still required for coordinated movement.</t>
  </si>
  <si>
    <t>Custom shafts used to transfer motion between servo outputs and pulley assemblies, enabling reliable and backlash-free mechanical transmission.</t>
  </si>
  <si>
    <t>Serves as the driving pulley in the belt transmission system, translating servo rotation.</t>
  </si>
  <si>
    <t>Acts as the driven pulley in the gear reduction setup, increasing torque at each joint.</t>
  </si>
  <si>
    <t>Used to reduce axial friction and prevent rubbing between rotating parts and stationary brackets.</t>
  </si>
  <si>
    <t>Smaller bearings used in compact joint housings where load and speed requirements are moderate.</t>
  </si>
  <si>
    <t>High-strength retaining compound for securing shafts, pulleys, and bearings, preventing slippage under dynamic loads.</t>
  </si>
  <si>
    <t>Primary power source for servos, Jetson Orin Nano, and sensors; provides sufficient current delivery for high-demand movements.</t>
  </si>
  <si>
    <t>Central power and communication hub distributing regulated voltage and serial signals between servos, Jetson, and sensors.</t>
  </si>
  <si>
    <t>Main onboard computer handling perception, reinforcement learning, and motion planning in real time.</t>
  </si>
  <si>
    <t>High-speed storage for AI models, video frames, and system data during real-time inference and logging.</t>
  </si>
  <si>
    <t>PCB components</t>
  </si>
  <si>
    <t>all components required for PCB</t>
  </si>
  <si>
    <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t>
  </si>
  <si>
    <t>3D printing material used for lightweight housings and custom mounts throughout the robot prototype to allow iterative design, it's likely I'll need lots of PLA due to continous prints, and like mentioned, fixes.</t>
  </si>
  <si>
    <t>OAK-D Lite</t>
  </si>
  <si>
    <t>https://shop.luxonis.com/products/oak-d-lite-1?srsltid=AfmBOoq9SXp8_jsCfp5Crmmvz5wJrfFSe737xSEIB0ER3FbqNBEHMMuP</t>
  </si>
  <si>
    <t>Provides depth and RGB vision for environmental awareness, obstacle detection, and balance correction. Received 30% discount from Luxonis reducing the price from $209.8 to $147 CAD.</t>
  </si>
  <si>
    <t>HTD 3M 30T Timing Pulley</t>
  </si>
  <si>
    <t>HTD 3M 18T Timing pulley</t>
  </si>
  <si>
    <t>https://www.aliexpress.com/item/1005007456973949.html?spm=a2g0o.order_list.order_list_main.17.1bdb1802M7naAb</t>
  </si>
  <si>
    <t>https://www.aliexpress.com/item/1005009686443539.html?spm=a2g0o.order_list.order_list_main.5.1bdb1802M7naAb</t>
  </si>
  <si>
    <t>8mm ID 11 mm OD Washers</t>
  </si>
  <si>
    <t>https://www.gobilda.com/2807-series-stainless-steel-shim-8mm-id-x-11mm-od-0-25mm-thickness-12-pack/</t>
  </si>
  <si>
    <t>https://www.amazon.ca/dp/B0D4RD18YV?ref=ppx_yo2ov_dt_b_fed_asin_title&amp;th=1</t>
  </si>
  <si>
    <t>Patriot P320 128GB SSD</t>
  </si>
  <si>
    <t>14 AWG Red and Black Wire</t>
  </si>
  <si>
    <t>JLCPCB</t>
  </si>
  <si>
    <t>Digikey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</si>
</sst>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5"/>
      <color theme="3"/>
      <name val="Aptos Narrow"/>
      <family val="2"/>
      <scheme val="minor"/>
    </font>
    <font>
      <u/>
      <sz val="11"/>
      <color theme="10"/>
      <name val="Aptos Narrow"/>
      <family val="2"/>
      <scheme val="minor"/>
    </font>
    <font>
      <b/>
      <sz val="13"/>
      <color theme="3"/>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5"/>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0" borderId="2" applyNumberFormat="0" applyFill="0" applyAlignment="0" applyProtection="0"/>
  </cellStyleXfs>
  <cellXfs count="9">
    <xf numFmtId="0" fontId="0" fillId="0" borderId="0" xfId="0"/>
    <xf numFmtId="0" fontId="1" fillId="2" borderId="0" xfId="1" applyFill="1" applyBorder="1" applyAlignment="1">
      <alignment horizontal="center"/>
    </xf>
    <xf numFmtId="0" fontId="3" fillId="0" borderId="2" xfId="3"/>
    <xf numFmtId="0" fontId="2" fillId="0" borderId="0" xfId="2"/>
    <xf numFmtId="8" fontId="0" fillId="0" borderId="0" xfId="0" applyNumberFormat="1"/>
    <xf numFmtId="6" fontId="0" fillId="0" borderId="0" xfId="0" applyNumberFormat="1"/>
    <xf numFmtId="0" fontId="0" fillId="0" borderId="0" xfId="0" applyAlignment="1">
      <alignment wrapText="1"/>
    </xf>
    <xf numFmtId="0" fontId="3" fillId="0" borderId="2" xfId="3" applyAlignment="1">
      <alignment wrapText="1"/>
    </xf>
    <xf numFmtId="8" fontId="3" fillId="0" borderId="2" xfId="3" applyNumberFormat="1"/>
  </cellXfs>
  <cellStyles count="4">
    <cellStyle name="Heading 1" xfId="1" builtinId="16"/>
    <cellStyle name="Heading 2" xfId="3" builtinId="1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a/dp/B0D4RD18YV?ref=ppx_yo2ov_dt_b_fed_asin_title&amp;th=1" TargetMode="External"/><Relationship Id="rId13" Type="http://schemas.openxmlformats.org/officeDocument/2006/relationships/printerSettings" Target="../printerSettings/printerSettings1.bin"/><Relationship Id="rId3" Type="http://schemas.openxmlformats.org/officeDocument/2006/relationships/hyperlink" Target="https://www.gobilda.com/8mm-round-servo-shaft-25-tooth-spline-36mm-length/?srsltid=AfmBOoppTsDPK5TAdGEWVtdA1bXoH8x3ckvVXmJyh6e4P2LmL53MeBU7&amp;utm_source=chatgpt.com" TargetMode="External"/><Relationship Id="rId7" Type="http://schemas.openxmlformats.org/officeDocument/2006/relationships/hyperlink" Targe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TargetMode="External"/><Relationship Id="rId12" Type="http://schemas.openxmlformats.org/officeDocument/2006/relationships/hyperlink" Target="https://www.gobilda.com/2807-series-stainless-steel-shim-8mm-id-x-11mm-od-0-25mm-thickness-12-pack/" TargetMode="External"/><Relationship Id="rId2" Type="http://schemas.openxmlformats.org/officeDocument/2006/relationships/hyperlink" Target="https://www.feetechrc.com/en/12v-30kg-metal-shell-metal-tooth-iron-core-motor-magnetic-coding-double-shaft-ttl-series-steering-gear.html" TargetMode="External"/><Relationship Id="rId1" Type="http://schemas.openxmlformats.org/officeDocument/2006/relationships/hyperlink" Target="https://www.feetechrc.com/en/562636.html" TargetMode="External"/><Relationship Id="rId6" Type="http://schemas.openxmlformats.org/officeDocument/2006/relationships/hyperlink" Targe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 TargetMode="External"/><Relationship Id="rId11" Type="http://schemas.openxmlformats.org/officeDocument/2006/relationships/hyperlink" Target="https://www.aliexpress.com/item/1005009686443539.html?spm=a2g0o.order_list.order_list_main.5.1bdb1802M7naAb" TargetMode="External"/><Relationship Id="rId5" Type="http://schemas.openxmlformats.org/officeDocument/2006/relationships/hyperlink" Target="https://shop.luxonis.com/products/oak-d-lite-1?srsltid=AfmBOoq9SXp8_jsCfp5Crmmvz5wJrfFSe737xSEIB0ER3FbqNBEHMMuP" TargetMode="External"/><Relationship Id="rId10" Type="http://schemas.openxmlformats.org/officeDocument/2006/relationships/hyperlink" Target="https://www.digikey.ca/short/0zvnp1rd" TargetMode="External"/><Relationship Id="rId4" Type="http://schemas.openxmlformats.org/officeDocument/2006/relationships/hyperlink" Targe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TargetMode="External"/><Relationship Id="rId9" Type="http://schemas.openxmlformats.org/officeDocument/2006/relationships/hyperlink" Target="https://www.amazon.ca/Loctite-21448-Strength-Retaining-Compound/dp/B000O01EV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E87-AA20-4FF1-AECF-F7AF79D019A8}">
  <dimension ref="A1:G30"/>
  <sheetViews>
    <sheetView tabSelected="1" topLeftCell="A5" zoomScale="85" zoomScaleNormal="85" workbookViewId="0">
      <selection activeCell="C15" sqref="C15"/>
    </sheetView>
  </sheetViews>
  <sheetFormatPr defaultRowHeight="15" x14ac:dyDescent="0.25"/>
  <cols>
    <col min="1" max="1" width="29" customWidth="1"/>
    <col min="2" max="2" width="43.85546875" customWidth="1"/>
    <col min="3" max="3" width="44.42578125" customWidth="1"/>
    <col min="4" max="4" width="39.7109375" customWidth="1"/>
    <col min="5" max="5" width="19.85546875" customWidth="1"/>
    <col min="6" max="6" width="21.42578125" customWidth="1"/>
    <col min="7" max="7" width="15.7109375" customWidth="1"/>
    <col min="8" max="8" width="8" customWidth="1"/>
  </cols>
  <sheetData>
    <row r="1" spans="1:7" ht="19.5" x14ac:dyDescent="0.3">
      <c r="A1" s="1" t="s">
        <v>0</v>
      </c>
      <c r="B1" s="1" t="s">
        <v>23</v>
      </c>
      <c r="C1" s="1" t="s">
        <v>1</v>
      </c>
      <c r="D1" s="1" t="s">
        <v>2</v>
      </c>
      <c r="E1" s="1" t="s">
        <v>3</v>
      </c>
      <c r="F1" s="1" t="s">
        <v>4</v>
      </c>
      <c r="G1" s="1" t="s">
        <v>5</v>
      </c>
    </row>
    <row r="2" spans="1:7" ht="18" thickBot="1" x14ac:dyDescent="0.35">
      <c r="A2" s="2" t="s">
        <v>10</v>
      </c>
      <c r="B2" s="2"/>
      <c r="C2" s="2"/>
      <c r="D2" s="2"/>
      <c r="E2" s="2"/>
      <c r="F2" s="2"/>
      <c r="G2" s="8">
        <f>SUM(F3:F36)</f>
        <v>2876.4036999999998</v>
      </c>
    </row>
    <row r="3" spans="1:7" ht="60.75" thickTop="1" x14ac:dyDescent="0.25">
      <c r="A3" t="s">
        <v>11</v>
      </c>
      <c r="B3" s="3" t="s">
        <v>13</v>
      </c>
      <c r="C3" s="6" t="s">
        <v>26</v>
      </c>
      <c r="D3">
        <v>14</v>
      </c>
      <c r="E3" s="4">
        <v>65.81</v>
      </c>
      <c r="F3" s="4">
        <f t="shared" ref="F3:F9" si="0">(D3*E3)*1.13</f>
        <v>1041.1142</v>
      </c>
    </row>
    <row r="4" spans="1:7" ht="60" x14ac:dyDescent="0.25">
      <c r="A4" t="s">
        <v>12</v>
      </c>
      <c r="B4" s="3" t="s">
        <v>14</v>
      </c>
      <c r="C4" s="6" t="s">
        <v>27</v>
      </c>
      <c r="D4">
        <v>6</v>
      </c>
      <c r="E4" s="4">
        <v>57.86</v>
      </c>
      <c r="F4" s="4">
        <f t="shared" si="0"/>
        <v>392.29079999999993</v>
      </c>
    </row>
    <row r="5" spans="1:7" ht="60" x14ac:dyDescent="0.25">
      <c r="A5" t="s">
        <v>15</v>
      </c>
      <c r="B5" s="3" t="s">
        <v>16</v>
      </c>
      <c r="C5" s="6" t="s">
        <v>28</v>
      </c>
      <c r="D5">
        <v>6</v>
      </c>
      <c r="E5" s="4">
        <v>9.99</v>
      </c>
      <c r="F5" s="4">
        <f t="shared" si="0"/>
        <v>67.732199999999992</v>
      </c>
    </row>
    <row r="6" spans="1:7" ht="30" x14ac:dyDescent="0.25">
      <c r="A6" t="s">
        <v>46</v>
      </c>
      <c r="B6" s="3" t="s">
        <v>47</v>
      </c>
      <c r="C6" s="6" t="s">
        <v>29</v>
      </c>
      <c r="D6">
        <v>8</v>
      </c>
      <c r="E6" s="4">
        <v>3.02</v>
      </c>
      <c r="F6" s="4">
        <f t="shared" si="0"/>
        <v>27.300799999999999</v>
      </c>
    </row>
    <row r="7" spans="1:7" ht="30" x14ac:dyDescent="0.25">
      <c r="A7" t="s">
        <v>45</v>
      </c>
      <c r="B7" s="3" t="s">
        <v>48</v>
      </c>
      <c r="C7" s="6" t="s">
        <v>30</v>
      </c>
      <c r="D7">
        <v>4</v>
      </c>
      <c r="E7" s="4">
        <v>6.79</v>
      </c>
      <c r="F7" s="4">
        <f t="shared" si="0"/>
        <v>30.690799999999996</v>
      </c>
    </row>
    <row r="8" spans="1:7" ht="45" x14ac:dyDescent="0.25">
      <c r="A8" t="s">
        <v>49</v>
      </c>
      <c r="B8" s="3" t="s">
        <v>50</v>
      </c>
      <c r="C8" s="6" t="s">
        <v>31</v>
      </c>
      <c r="D8">
        <v>1</v>
      </c>
      <c r="E8" s="4">
        <v>2.69</v>
      </c>
      <c r="F8" s="4">
        <f t="shared" si="0"/>
        <v>3.0396999999999998</v>
      </c>
    </row>
    <row r="9" spans="1:7" ht="45" x14ac:dyDescent="0.25">
      <c r="A9" t="s">
        <v>17</v>
      </c>
      <c r="B9" t="s">
        <v>18</v>
      </c>
      <c r="C9" s="6" t="s">
        <v>32</v>
      </c>
      <c r="D9">
        <v>1</v>
      </c>
      <c r="E9" s="4">
        <v>16.29</v>
      </c>
      <c r="F9" s="4">
        <f t="shared" si="0"/>
        <v>18.407699999999998</v>
      </c>
    </row>
    <row r="10" spans="1:7" ht="75" x14ac:dyDescent="0.25">
      <c r="A10" t="s">
        <v>7</v>
      </c>
      <c r="B10" t="s">
        <v>40</v>
      </c>
      <c r="C10" s="6" t="s">
        <v>41</v>
      </c>
      <c r="D10">
        <v>2</v>
      </c>
      <c r="E10" s="4">
        <v>44.99</v>
      </c>
      <c r="F10" s="4">
        <f>(D10*E10)*1.13</f>
        <v>101.67739999999999</v>
      </c>
    </row>
    <row r="11" spans="1:7" ht="45" x14ac:dyDescent="0.25">
      <c r="A11" t="s">
        <v>21</v>
      </c>
      <c r="B11" s="3" t="s">
        <v>22</v>
      </c>
      <c r="C11" s="6" t="s">
        <v>33</v>
      </c>
      <c r="D11">
        <v>1</v>
      </c>
      <c r="E11" s="5">
        <v>24</v>
      </c>
      <c r="F11" s="4">
        <f>(D11*E11)*1.13</f>
        <v>27.119999999999997</v>
      </c>
    </row>
    <row r="12" spans="1:7" x14ac:dyDescent="0.25">
      <c r="C12" s="6"/>
    </row>
    <row r="13" spans="1:7" x14ac:dyDescent="0.25">
      <c r="C13" s="6"/>
    </row>
    <row r="14" spans="1:7" ht="18" thickBot="1" x14ac:dyDescent="0.35">
      <c r="A14" s="2" t="s">
        <v>19</v>
      </c>
      <c r="B14" s="2"/>
      <c r="C14" s="7"/>
      <c r="D14" s="2"/>
      <c r="E14" s="2"/>
      <c r="F14" s="2">
        <f t="shared" ref="F14:F18" si="1">(D14*E14)*1.13</f>
        <v>0</v>
      </c>
    </row>
    <row r="15" spans="1:7" ht="45.75" thickTop="1" x14ac:dyDescent="0.25">
      <c r="A15" t="s">
        <v>8</v>
      </c>
      <c r="B15" s="3" t="s">
        <v>9</v>
      </c>
      <c r="C15" s="6" t="s">
        <v>34</v>
      </c>
      <c r="D15">
        <v>1</v>
      </c>
      <c r="E15" s="4">
        <v>99.99</v>
      </c>
      <c r="F15" s="4">
        <f>(D15*E15)*1.13</f>
        <v>112.98869999999998</v>
      </c>
    </row>
    <row r="16" spans="1:7" ht="45" x14ac:dyDescent="0.25">
      <c r="A16" t="s">
        <v>24</v>
      </c>
      <c r="B16" t="s">
        <v>54</v>
      </c>
      <c r="C16" s="6" t="s">
        <v>35</v>
      </c>
      <c r="D16">
        <v>1</v>
      </c>
      <c r="E16" s="4">
        <v>284</v>
      </c>
      <c r="F16" s="4">
        <f>(D16*E16)*1.13</f>
        <v>320.91999999999996</v>
      </c>
    </row>
    <row r="17" spans="1:6" x14ac:dyDescent="0.25">
      <c r="A17" t="s">
        <v>38</v>
      </c>
      <c r="B17" s="3" t="s">
        <v>55</v>
      </c>
      <c r="C17" s="6" t="s">
        <v>39</v>
      </c>
      <c r="D17">
        <v>1</v>
      </c>
      <c r="E17" s="5">
        <v>109</v>
      </c>
      <c r="F17" s="4">
        <f>(D17*E17)*1.13</f>
        <v>123.16999999999999</v>
      </c>
    </row>
    <row r="18" spans="1:6" x14ac:dyDescent="0.25">
      <c r="A18" t="s">
        <v>53</v>
      </c>
      <c r="C18" s="6"/>
      <c r="F18">
        <f t="shared" si="1"/>
        <v>0</v>
      </c>
    </row>
    <row r="19" spans="1:6" x14ac:dyDescent="0.25">
      <c r="C19" s="6"/>
    </row>
    <row r="20" spans="1:6" ht="18" thickBot="1" x14ac:dyDescent="0.35">
      <c r="A20" s="2" t="s">
        <v>20</v>
      </c>
      <c r="B20" s="2"/>
      <c r="C20" s="7"/>
      <c r="D20" s="2"/>
      <c r="E20" s="2"/>
      <c r="F20" s="2"/>
    </row>
    <row r="21" spans="1:6" ht="45.75" thickTop="1" x14ac:dyDescent="0.25">
      <c r="A21" t="s">
        <v>6</v>
      </c>
      <c r="B21" s="3" t="s">
        <v>25</v>
      </c>
      <c r="C21" s="6" t="s">
        <v>36</v>
      </c>
      <c r="D21">
        <v>1</v>
      </c>
      <c r="E21" s="4">
        <v>344.95</v>
      </c>
      <c r="F21" s="4">
        <f>(D21*E21)*1.13</f>
        <v>389.79349999999994</v>
      </c>
    </row>
    <row r="22" spans="1:6" ht="75" x14ac:dyDescent="0.25">
      <c r="A22" t="s">
        <v>42</v>
      </c>
      <c r="B22" s="3" t="s">
        <v>43</v>
      </c>
      <c r="C22" s="6" t="s">
        <v>44</v>
      </c>
      <c r="D22">
        <v>1</v>
      </c>
      <c r="E22" s="5">
        <v>146.84</v>
      </c>
      <c r="F22" s="4">
        <f>(D22*E22)*1.13</f>
        <v>165.92919999999998</v>
      </c>
    </row>
    <row r="23" spans="1:6" ht="45" x14ac:dyDescent="0.25">
      <c r="A23" t="s">
        <v>52</v>
      </c>
      <c r="B23" s="3" t="s">
        <v>51</v>
      </c>
      <c r="C23" s="6" t="s">
        <v>37</v>
      </c>
      <c r="D23">
        <v>1</v>
      </c>
      <c r="E23" s="4">
        <v>47.99</v>
      </c>
      <c r="F23" s="4">
        <f>(D23*E23)*1.13</f>
        <v>54.228699999999996</v>
      </c>
    </row>
    <row r="30" spans="1:6" ht="12" customHeight="1" x14ac:dyDescent="0.25"/>
  </sheetData>
  <phoneticPr fontId="4" type="noConversion"/>
  <hyperlinks>
    <hyperlink ref="B3" r:id="rId1" xr:uid="{ABAF853C-7614-4C43-8D02-3509970FF289}"/>
    <hyperlink ref="B4" r:id="rId2" xr:uid="{81C68F65-402F-485A-8246-28C1ED3C194F}"/>
    <hyperlink ref="B5" r:id="rId3" xr:uid="{568D074D-A623-41D8-A536-15D5A113AF52}"/>
    <hyperlink ref="B21" r:id="rId4" display="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xr:uid="{1292E30F-6024-4A1A-B37C-1DA10F1BD571}"/>
    <hyperlink ref="B22" r:id="rId5" xr:uid="{570B946F-A3F9-46CD-89E7-C74FEE892AE5}"/>
    <hyperlink ref="B10" r:id="rId6" display="Amazon" xr:uid="{41208C38-E731-44F2-BEE2-61FCB8EB62DA}"/>
    <hyperlink ref="B15" r:id="rId7" display="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xr:uid="{19E65730-6900-417B-BAE6-CAB9289FD747}"/>
    <hyperlink ref="B23" r:id="rId8" xr:uid="{CDAFC55C-E851-401E-BBCF-1C6A02C64874}"/>
    <hyperlink ref="B11" r:id="rId9" xr:uid="{3112BEC5-0070-4734-A13C-033FA815C0C8}"/>
    <hyperlink ref="B17" r:id="rId10" display="https://www.digikey.ca/short/0zvnp1rd" xr:uid="{E652C524-982E-4015-931D-A51BB57A61B0}"/>
    <hyperlink ref="B7" r:id="rId11" xr:uid="{435C99FE-EDD2-4E84-983E-5B33DA420949}"/>
    <hyperlink ref="B8" r:id="rId12" xr:uid="{9D9F8FA0-0FB8-40F9-964C-907A1BB5FBE6}"/>
  </hyperlinks>
  <pageMargins left="0.7" right="0.7" top="0.75" bottom="0.75" header="0.3" footer="0.3"/>
  <pageSetup paperSize="3" orientation="portrait" horizontalDpi="300" verticalDpi="300"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3decd86-39a4-49eb-910d-a9d7478bb84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BE23F23D6C404CAD5DE15B10DA803A" ma:contentTypeVersion="10" ma:contentTypeDescription="Create a new document." ma:contentTypeScope="" ma:versionID="173af77996ad3160ba67f97a1dc9a0a1">
  <xsd:schema xmlns:xsd="http://www.w3.org/2001/XMLSchema" xmlns:xs="http://www.w3.org/2001/XMLSchema" xmlns:p="http://schemas.microsoft.com/office/2006/metadata/properties" xmlns:ns3="73decd86-39a4-49eb-910d-a9d7478bb842" targetNamespace="http://schemas.microsoft.com/office/2006/metadata/properties" ma:root="true" ma:fieldsID="ac7655f4c6b06e1f724061c6ed122ee0" ns3:_="">
    <xsd:import namespace="73decd86-39a4-49eb-910d-a9d7478bb84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decd86-39a4-49eb-910d-a9d7478bb8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9EC6FB-1CF2-4FAD-B830-F4943A84763F}">
  <ds:schemaRefs>
    <ds:schemaRef ds:uri="http://schemas.microsoft.com/sharepoint/v3/contenttype/forms"/>
  </ds:schemaRefs>
</ds:datastoreItem>
</file>

<file path=customXml/itemProps2.xml><?xml version="1.0" encoding="utf-8"?>
<ds:datastoreItem xmlns:ds="http://schemas.openxmlformats.org/officeDocument/2006/customXml" ds:itemID="{B4BBE388-63B8-4E8B-9309-4F27288A6A4A}">
  <ds:schemaRefs>
    <ds:schemaRef ds:uri="http://schemas.microsoft.com/office/2006/metadata/properties"/>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73decd86-39a4-49eb-910d-a9d7478bb842"/>
    <ds:schemaRef ds:uri="http://purl.org/dc/elements/1.1/"/>
  </ds:schemaRefs>
</ds:datastoreItem>
</file>

<file path=customXml/itemProps3.xml><?xml version="1.0" encoding="utf-8"?>
<ds:datastoreItem xmlns:ds="http://schemas.openxmlformats.org/officeDocument/2006/customXml" ds:itemID="{1E58C759-CD66-46BE-BFED-9AE0DBCB8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decd86-39a4-49eb-910d-a9d7478bb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Robot_BOM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William Heddle</dc:creator>
  <cp:keywords/>
  <dc:description/>
  <cp:lastModifiedBy>Bryan William Heddle</cp:lastModifiedBy>
  <cp:revision/>
  <cp:lastPrinted>2025-10-06T15:26:44Z</cp:lastPrinted>
  <dcterms:created xsi:type="dcterms:W3CDTF">2025-03-12T17:29:58Z</dcterms:created>
  <dcterms:modified xsi:type="dcterms:W3CDTF">2025-12-24T04:59:09Z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0x0101000FBE23F23D6C404CAD5DE15B10DA803A</vt:lpwstr>
  </property>
</Properties>
</file>